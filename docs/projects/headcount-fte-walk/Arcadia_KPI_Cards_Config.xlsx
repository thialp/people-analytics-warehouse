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Layout" sheetId="3" state="visible" r:id="rId3"/>
    <sheet xmlns:r="http://schemas.openxmlformats.org/officeDocument/2006/relationships" name="Calcs" sheetId="4" state="visible" r:id="rId4"/>
    <sheet xmlns:r="http://schemas.openxmlformats.org/officeDocument/2006/relationships" name="Layer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Gr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Arcadia KPI cards as map layers: configuration</t>
        </is>
      </c>
    </row>
    <row r="3">
      <c r="A3" t="inlineStr">
        <is>
          <t>Companion to docs/tableau_kpi_cards_guide.md. Arcadia Systems is fictional; all data is synthetic.</t>
        </is>
      </c>
    </row>
    <row r="4">
      <c r="A4" t="inlineStr">
        <is>
          <t>Layout: card positions and anchor coordinates, computed from the parameters (blue cells are inputs; change them and the rest recalculates).</t>
        </is>
      </c>
    </row>
    <row r="5">
      <c r="A5" t="inlineStr">
        <is>
          <t>Parameters: the 16 kpi_ parameters to create in Tableau.</t>
        </is>
      </c>
    </row>
    <row r="6">
      <c r="A6" t="inlineStr">
        <is>
          <t>Calcs: every calculated field, in creation order, copy-ready.</t>
        </is>
      </c>
    </row>
    <row r="7">
      <c r="A7" t="inlineStr">
        <is>
          <t>Layers: the 17 text layers plus the Frame and Check helpers, with fonts and colors.</t>
        </is>
      </c>
    </row>
    <row r="8">
      <c r="A8" t="inlineStr">
        <is>
          <t>Dashboard: dashboard, image and sheet placement.</t>
        </is>
      </c>
    </row>
    <row r="9">
      <c r="A9" t="inlineStr">
        <is>
          <t>Validation: the FY26 values each card must show.</t>
        </is>
      </c>
    </row>
    <row r="10">
      <c r="A10" t="inlineStr">
        <is>
          <t>Note: written without access to Tableau Public; tune kpi_FitX and kpi_FitY on screen (guide Section 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2" t="inlineStr">
        <is>
          <t>Name</t>
        </is>
      </c>
      <c r="B1" s="2" t="inlineStr">
        <is>
          <t>Default</t>
        </is>
      </c>
      <c r="C1" s="2" t="inlineStr">
        <is>
          <t>Purpose</t>
        </is>
      </c>
    </row>
    <row r="2">
      <c r="A2" s="3" t="inlineStr">
        <is>
          <t>kpi_Scale</t>
        </is>
      </c>
      <c r="B2" s="4" t="n">
        <v>0.010986328125</v>
      </c>
      <c r="C2" s="3" t="inlineStr">
        <is>
          <t>Degrees per pixel at zoom 7: 360/(256*2^7). Do not change</t>
        </is>
      </c>
    </row>
    <row r="3">
      <c r="A3" s="3" t="inlineStr">
        <is>
          <t>kpi_SheetW</t>
        </is>
      </c>
      <c r="B3" s="4" t="n">
        <v>1400</v>
      </c>
      <c r="C3" s="3" t="inlineStr">
        <is>
          <t>Sheet width px</t>
        </is>
      </c>
    </row>
    <row r="4">
      <c r="A4" s="3" t="inlineStr">
        <is>
          <t>kpi_SheetH</t>
        </is>
      </c>
      <c r="B4" s="4" t="n">
        <v>110</v>
      </c>
      <c r="C4" s="3" t="inlineStr">
        <is>
          <t>Sheet height px</t>
        </is>
      </c>
    </row>
    <row r="5">
      <c r="A5" s="3" t="inlineStr">
        <is>
          <t>kpi_FitX</t>
        </is>
      </c>
      <c r="B5" s="4" t="n">
        <v>1.1</v>
      </c>
      <c r="C5" s="3" t="inlineStr">
        <is>
          <t>Calibrate on screen</t>
        </is>
      </c>
    </row>
    <row r="6">
      <c r="A6" s="3" t="inlineStr">
        <is>
          <t>kpi_FitY</t>
        </is>
      </c>
      <c r="B6" s="4" t="n">
        <v>1.1</v>
      </c>
      <c r="C6" s="3" t="inlineStr">
        <is>
          <t>Calibrate on screen</t>
        </is>
      </c>
    </row>
    <row r="7">
      <c r="A7" s="3" t="inlineStr">
        <is>
          <t>kpi_ShiftX</t>
        </is>
      </c>
      <c r="B7" s="4" t="n">
        <v>0</v>
      </c>
      <c r="C7" s="3" t="inlineStr">
        <is>
          <t>Nudge px</t>
        </is>
      </c>
    </row>
    <row r="8">
      <c r="A8" s="3" t="inlineStr">
        <is>
          <t>kpi_ShiftY</t>
        </is>
      </c>
      <c r="B8" s="4" t="n">
        <v>0</v>
      </c>
      <c r="C8" s="3" t="inlineStr">
        <is>
          <t>Nudge px</t>
        </is>
      </c>
    </row>
    <row r="9">
      <c r="A9" s="3" t="inlineStr">
        <is>
          <t>kpi_GridLeft</t>
        </is>
      </c>
      <c r="B9" s="4" t="n">
        <v>56</v>
      </c>
      <c r="C9" s="3" t="inlineStr">
        <is>
          <t>Card 1 left edge</t>
        </is>
      </c>
    </row>
    <row r="10">
      <c r="A10" s="3" t="inlineStr">
        <is>
          <t>kpi_GridTop</t>
        </is>
      </c>
      <c r="B10" s="4" t="n">
        <v>12</v>
      </c>
      <c r="C10" s="3" t="inlineStr">
        <is>
          <t>Card top edge</t>
        </is>
      </c>
    </row>
    <row r="11">
      <c r="A11" s="3" t="inlineStr">
        <is>
          <t>kpi_CardW</t>
        </is>
      </c>
      <c r="B11" s="4" t="n">
        <v>244</v>
      </c>
      <c r="C11" s="3" t="inlineStr"/>
    </row>
    <row r="12">
      <c r="A12" s="3" t="inlineStr">
        <is>
          <t>kpi_CardH</t>
        </is>
      </c>
      <c r="B12" s="4" t="n">
        <v>86</v>
      </c>
      <c r="C12" s="3" t="inlineStr"/>
    </row>
    <row r="13">
      <c r="A13" s="3" t="inlineStr">
        <is>
          <t>kpi_GapX</t>
        </is>
      </c>
      <c r="B13" s="4" t="n">
        <v>17</v>
      </c>
      <c r="C13" s="3" t="inlineStr">
        <is>
          <t>Space between cards</t>
        </is>
      </c>
    </row>
    <row r="14">
      <c r="A14" s="3" t="inlineStr">
        <is>
          <t>kpi_PadX</t>
        </is>
      </c>
      <c r="B14" s="4" t="n">
        <v>16</v>
      </c>
      <c r="C14" s="3" t="inlineStr">
        <is>
          <t>Text inset</t>
        </is>
      </c>
    </row>
    <row r="15">
      <c r="A15" s="3" t="inlineStr">
        <is>
          <t>kpi_TitleDY</t>
        </is>
      </c>
      <c r="B15" s="4" t="n">
        <v>17</v>
      </c>
      <c r="C15" s="3" t="inlineStr">
        <is>
          <t>Title center below card top</t>
        </is>
      </c>
    </row>
    <row r="16">
      <c r="A16" s="3" t="inlineStr">
        <is>
          <t>kpi_ValueDY</t>
        </is>
      </c>
      <c r="B16" s="4" t="n">
        <v>44</v>
      </c>
      <c r="C16" s="3" t="inlineStr">
        <is>
          <t>Value center</t>
        </is>
      </c>
    </row>
    <row r="17">
      <c r="A17" s="3" t="inlineStr">
        <is>
          <t>kpi_SubDY</t>
        </is>
      </c>
      <c r="B17" s="4" t="n">
        <v>71</v>
      </c>
      <c r="C17" s="3" t="inlineStr">
        <is>
          <t>Note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5" t="inlineStr">
        <is>
          <t>Card</t>
        </is>
      </c>
      <c r="B1" s="5" t="inlineStr">
        <is>
          <t>Left px</t>
        </is>
      </c>
      <c r="C1" s="5" t="inlineStr">
        <is>
          <t>Title lon</t>
        </is>
      </c>
      <c r="D1" s="5" t="inlineStr">
        <is>
          <t>Value lon</t>
        </is>
      </c>
      <c r="E1" s="5" t="inlineStr">
        <is>
          <t>Note lon</t>
        </is>
      </c>
      <c r="F1" s="5" t="inlineStr">
        <is>
          <t>Raw offset within 91% of half-width?</t>
        </is>
      </c>
    </row>
    <row r="2">
      <c r="A2" s="6" t="inlineStr">
        <is>
          <t>Card 1</t>
        </is>
      </c>
      <c r="B2" s="6">
        <f>Parameters!$B$9+0*(Parameters!$B$11+Parameters!$B$13)</f>
        <v/>
      </c>
      <c r="C2" s="6">
        <f>($B2+Parameters!$B$14+Parameters!$B$7-Parameters!$B$3/2)*Parameters!$B$2*Parameters!$B$5</f>
        <v/>
      </c>
      <c r="D2" s="6">
        <f>($B2+Parameters!$B$14+Parameters!$B$7-Parameters!$B$3/2)*Parameters!$B$2*Parameters!$B$5</f>
        <v/>
      </c>
      <c r="E2" s="6">
        <f>($B2+Parameters!$B$14+Parameters!$B$7-Parameters!$B$3/2)*Parameters!$B$2*Parameters!$B$5</f>
        <v/>
      </c>
      <c r="F2" s="6">
        <f>IF(ABS($B2+Parameters!$B$14-Parameters!$B$3/2)&lt;=0.91*Parameters!$B$3/2,"yes","NO")</f>
        <v/>
      </c>
    </row>
    <row r="3">
      <c r="A3" s="6" t="inlineStr">
        <is>
          <t>Card 2</t>
        </is>
      </c>
      <c r="B3" s="6">
        <f>Parameters!$B$9+1*(Parameters!$B$11+Parameters!$B$13)</f>
        <v/>
      </c>
      <c r="C3" s="6">
        <f>($B3+Parameters!$B$14+Parameters!$B$7-Parameters!$B$3/2)*Parameters!$B$2*Parameters!$B$5</f>
        <v/>
      </c>
      <c r="D3" s="6">
        <f>($B3+Parameters!$B$14+Parameters!$B$7-Parameters!$B$3/2)*Parameters!$B$2*Parameters!$B$5</f>
        <v/>
      </c>
      <c r="E3" s="6">
        <f>($B3+Parameters!$B$14+Parameters!$B$7-Parameters!$B$3/2)*Parameters!$B$2*Parameters!$B$5</f>
        <v/>
      </c>
      <c r="F3" s="6">
        <f>IF(ABS($B3+Parameters!$B$14-Parameters!$B$3/2)&lt;=0.91*Parameters!$B$3/2,"yes","NO")</f>
        <v/>
      </c>
    </row>
    <row r="4">
      <c r="A4" s="6" t="inlineStr">
        <is>
          <t>Card 3</t>
        </is>
      </c>
      <c r="B4" s="6">
        <f>Parameters!$B$9+2*(Parameters!$B$11+Parameters!$B$13)</f>
        <v/>
      </c>
      <c r="C4" s="6">
        <f>($B4+Parameters!$B$14+Parameters!$B$7-Parameters!$B$3/2)*Parameters!$B$2*Parameters!$B$5</f>
        <v/>
      </c>
      <c r="D4" s="6">
        <f>($B4+Parameters!$B$14+Parameters!$B$7-Parameters!$B$3/2)*Parameters!$B$2*Parameters!$B$5</f>
        <v/>
      </c>
      <c r="E4" s="6">
        <f>($B4+Parameters!$B$14+Parameters!$B$7-Parameters!$B$3/2)*Parameters!$B$2*Parameters!$B$5</f>
        <v/>
      </c>
      <c r="F4" s="6">
        <f>IF(ABS($B4+Parameters!$B$14-Parameters!$B$3/2)&lt;=0.91*Parameters!$B$3/2,"yes","NO")</f>
        <v/>
      </c>
    </row>
    <row r="5">
      <c r="A5" s="6" t="inlineStr">
        <is>
          <t>Card 4</t>
        </is>
      </c>
      <c r="B5" s="6">
        <f>Parameters!$B$9+3*(Parameters!$B$11+Parameters!$B$13)</f>
        <v/>
      </c>
      <c r="C5" s="6">
        <f>($B5+Parameters!$B$14+Parameters!$B$7-Parameters!$B$3/2)*Parameters!$B$2*Parameters!$B$5</f>
        <v/>
      </c>
      <c r="D5" s="6">
        <f>($B5+Parameters!$B$14+Parameters!$B$7-Parameters!$B$3/2)*Parameters!$B$2*Parameters!$B$5</f>
        <v/>
      </c>
      <c r="E5" s="6">
        <f>($B5+Parameters!$B$14+Parameters!$B$7-Parameters!$B$3/2)*Parameters!$B$2*Parameters!$B$5</f>
        <v/>
      </c>
      <c r="F5" s="6">
        <f>IF(ABS($B5+Parameters!$B$14-Parameters!$B$3/2)&lt;=0.91*Parameters!$B$3/2,"yes","NO")</f>
        <v/>
      </c>
    </row>
    <row r="6">
      <c r="A6" s="6" t="inlineStr">
        <is>
          <t>Card 5</t>
        </is>
      </c>
      <c r="B6" s="6">
        <f>Parameters!$B$9+4*(Parameters!$B$11+Parameters!$B$13)</f>
        <v/>
      </c>
      <c r="C6" s="6">
        <f>($B6+Parameters!$B$14+Parameters!$B$7-Parameters!$B$3/2)*Parameters!$B$2*Parameters!$B$5</f>
        <v/>
      </c>
      <c r="D6" s="6">
        <f>($B6+Parameters!$B$14+Parameters!$B$7-Parameters!$B$3/2)*Parameters!$B$2*Parameters!$B$5</f>
        <v/>
      </c>
      <c r="E6" s="6">
        <f>($B6+Parameters!$B$14+Parameters!$B$7-Parameters!$B$3/2)*Parameters!$B$2*Parameters!$B$5</f>
        <v/>
      </c>
      <c r="F6" s="6">
        <f>IF(ABS($B6+Parameters!$B$14-Parameters!$B$3/2)&lt;=0.91*Parameters!$B$3/2,"yes","NO")</f>
        <v/>
      </c>
    </row>
    <row r="7">
      <c r="A7" s="6" t="n"/>
      <c r="B7" s="6" t="n"/>
      <c r="C7" s="6" t="n"/>
      <c r="D7" s="6" t="n"/>
      <c r="E7" s="6" t="n"/>
      <c r="F7" s="6" t="n"/>
    </row>
    <row r="8">
      <c r="A8" s="7" t="inlineStr">
        <is>
          <t>Row</t>
        </is>
      </c>
      <c r="B8" s="7" t="inlineStr">
        <is>
          <t>Center y px</t>
        </is>
      </c>
      <c r="C8" s="7" t="inlineStr">
        <is>
          <t>Latitude</t>
        </is>
      </c>
      <c r="D8" s="7" t="inlineStr">
        <is>
          <t>In 91% of centre?</t>
        </is>
      </c>
      <c r="E8" s="7" t="n"/>
      <c r="F8" s="7" t="n"/>
    </row>
    <row r="9">
      <c r="A9" s="6" t="inlineStr">
        <is>
          <t>Title</t>
        </is>
      </c>
      <c r="B9" s="6">
        <f>Parameters!$B$10+Parameters!$B$15</f>
        <v/>
      </c>
      <c r="C9" s="6">
        <f>-(B9+Parameters!$B$8-Parameters!$B$4/2)*Parameters!$B$2*Parameters!$B$6</f>
        <v/>
      </c>
      <c r="D9" s="6">
        <f>IF(ABS(B9-Parameters!$B$4/2)&lt;=0.91*Parameters!$B$4/2,"yes","NO")</f>
        <v/>
      </c>
      <c r="E9" s="6" t="n"/>
      <c r="F9" s="6" t="n"/>
    </row>
    <row r="10">
      <c r="A10" s="6" t="inlineStr">
        <is>
          <t>Value</t>
        </is>
      </c>
      <c r="B10" s="6">
        <f>Parameters!$B$10+Parameters!$B$16</f>
        <v/>
      </c>
      <c r="C10" s="6">
        <f>-(B10+Parameters!$B$8-Parameters!$B$4/2)*Parameters!$B$2*Parameters!$B$6</f>
        <v/>
      </c>
      <c r="D10" s="6">
        <f>IF(ABS(B10-Parameters!$B$4/2)&lt;=0.91*Parameters!$B$4/2,"yes","NO")</f>
        <v/>
      </c>
      <c r="E10" s="6" t="n"/>
      <c r="F10" s="6" t="n"/>
    </row>
    <row r="11">
      <c r="A11" s="6" t="inlineStr">
        <is>
          <t>Note</t>
        </is>
      </c>
      <c r="B11" s="6">
        <f>Parameters!$B$10+Parameters!$B$17</f>
        <v/>
      </c>
      <c r="C11" s="6">
        <f>-(B11+Parameters!$B$8-Parameters!$B$4/2)*Parameters!$B$2*Parameters!$B$6</f>
        <v/>
      </c>
      <c r="D11" s="6">
        <f>IF(ABS(B11-Parameters!$B$4/2)&lt;=0.91*Parameters!$B$4/2,"yes","NO")</f>
        <v/>
      </c>
      <c r="E11" s="6" t="n"/>
      <c r="F1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0" customWidth="1" min="3" max="3"/>
  </cols>
  <sheetData>
    <row r="1">
      <c r="A1" s="2" t="inlineStr">
        <is>
          <t>Field</t>
        </is>
      </c>
      <c r="B1" s="2" t="inlineStr">
        <is>
          <t>Formula</t>
        </is>
      </c>
      <c r="C1" s="2" t="inlineStr">
        <is>
          <t>Note</t>
        </is>
      </c>
    </row>
    <row r="2">
      <c r="A2" s="3" t="inlineStr">
        <is>
          <t>K Valid</t>
        </is>
      </c>
      <c r="B2" s="3" t="inlineStr">
        <is>
          <t>[Start Month] &lt;= [End Month]</t>
        </is>
      </c>
      <c r="C2" s="3" t="inlineStr">
        <is>
          <t>a start after the end is meaningless</t>
        </is>
      </c>
    </row>
    <row r="3">
      <c r="A3" s="3" t="inlineStr">
        <is>
          <t>K Open HC</t>
        </is>
      </c>
      <c r="B3" s="3" t="inlineStr">
        <is>
          <t>ZN(SUM(IF [In Range] AND [Movement Category] = "Opening" AND [Month End Date] = [Start Month]
       THEN [Headcount] END))</t>
        </is>
      </c>
      <c r="C3" s="3" t="inlineStr"/>
    </row>
    <row r="4">
      <c r="A4" s="3" t="inlineStr">
        <is>
          <t>K Close HC</t>
        </is>
      </c>
      <c r="B4" s="3" t="inlineStr">
        <is>
          <t>ZN(SUM(IF [In Range] AND [Movement Category] = "Closing" AND [Month End Date] = [End Month]
       THEN [Headcount] END))</t>
        </is>
      </c>
      <c r="C4" s="3" t="inlineStr"/>
    </row>
    <row r="5">
      <c r="A5" s="3" t="inlineStr">
        <is>
          <t>K Close FTE</t>
        </is>
      </c>
      <c r="B5" s="3" t="inlineStr">
        <is>
          <t>ZN(SUM(IF [In Range] AND [Movement Category] = "Closing" AND [Month End Date] = [End Month]
       THEN [Fte] END))</t>
        </is>
      </c>
      <c r="C5" s="3" t="inlineStr"/>
    </row>
    <row r="6">
      <c r="A6" s="3" t="inlineStr">
        <is>
          <t>K Net Pct</t>
        </is>
      </c>
      <c r="B6" s="3" t="inlineStr">
        <is>
          <t>IF [K Open HC] = 0 THEN 0 ELSE ([K Close HC] - [K Open HC]) / [K Open HC] END</t>
        </is>
      </c>
      <c r="C6" s="3" t="inlineStr"/>
    </row>
    <row r="7">
      <c r="A7" s="3" t="inlineStr">
        <is>
          <t>K Hires</t>
        </is>
      </c>
      <c r="B7" s="3" t="inlineStr">
        <is>
          <t>ZN([Hires])</t>
        </is>
      </c>
      <c r="C7" s="3" t="inlineStr"/>
    </row>
    <row r="8">
      <c r="A8" s="3" t="inlineStr">
        <is>
          <t>K Leavers Vol</t>
        </is>
      </c>
      <c r="B8" s="3" t="inlineStr">
        <is>
          <t>ZN([Voluntary Leavers])</t>
        </is>
      </c>
      <c r="C8" s="3" t="inlineStr"/>
    </row>
    <row r="9">
      <c r="A9" s="3" t="inlineStr">
        <is>
          <t>K Moves</t>
        </is>
      </c>
      <c r="B9" s="3" t="inlineStr">
        <is>
          <t>ZN([Internal Moves])</t>
        </is>
      </c>
      <c r="C9" s="3" t="inlineStr"/>
    </row>
    <row r="10">
      <c r="A10" s="3" t="inlineStr">
        <is>
          <t>K Promotions</t>
        </is>
      </c>
      <c r="B10" s="3" t="inlineStr">
        <is>
          <t>ZN(SUM(IF [In Range] AND [Movement Category] = "Internal Moves In"
            AND [Movement Reason] = "Promotion" THEN [Headcount] END))</t>
        </is>
      </c>
      <c r="C10" s="3" t="inlineStr"/>
    </row>
    <row r="11">
      <c r="A11" s="3" t="inlineStr">
        <is>
          <t>K Other Moves</t>
        </is>
      </c>
      <c r="B11" s="3" t="inlineStr">
        <is>
          <t>[K Moves] - [K Promotions]</t>
        </is>
      </c>
      <c r="C11" s="3" t="inlineStr"/>
    </row>
    <row r="12">
      <c r="A12" s="3" t="inlineStr">
        <is>
          <t>K Part Time Gap</t>
        </is>
      </c>
      <c r="B12" s="3" t="inlineStr">
        <is>
          <t>[K Close HC] - [K Close FTE]</t>
        </is>
      </c>
      <c r="C12" s="3" t="inlineStr">
        <is>
          <t>headcount minus FTE</t>
        </is>
      </c>
    </row>
    <row r="13">
      <c r="A13" s="3" t="inlineStr">
        <is>
          <t>K Open Str</t>
        </is>
      </c>
      <c r="B13" s="3" t="inlineStr">
        <is>
          <t>IF [K Open HC] &gt;= 1000
THEN STR(DIV(INT([K Open HC]), 1000)) + "," + RIGHT("00" + STR(INT([K Open HC]) % 1000), 3)
ELSE STR(INT([K Open HC])) END</t>
        </is>
      </c>
      <c r="C13" s="3" t="inlineStr">
        <is>
          <t>12510 -&gt; "12,510"</t>
        </is>
      </c>
    </row>
    <row r="14">
      <c r="A14" s="3" t="inlineStr">
        <is>
          <t>K Net Pct Str</t>
        </is>
      </c>
      <c r="B14" s="3" t="inlineStr">
        <is>
          <t>STR(DIV(INT(ROUND(ABS([K Net Pct]) * 1000, 0)), 10)) + "." +
STR(INT(ROUND(ABS([K Net Pct]) * 1000, 0)) % 10) + "%"</t>
        </is>
      </c>
      <c r="C14" s="3" t="inlineStr">
        <is>
          <t>0.055 -&gt; "5.5%"; sign handled by the note</t>
        </is>
      </c>
    </row>
    <row r="15">
      <c r="A15" s="3" t="inlineStr">
        <is>
          <t>KPI 1 Value</t>
        </is>
      </c>
      <c r="B15" s="3" t="inlineStr">
        <is>
          <t>IF NOT [K Valid] THEN "—"
ELSEIF [K Close HC] &gt;= 1000
THEN STR(DIV(INT([K Close HC]), 1000)) + "," + RIGHT("00" + STR(INT([K Close HC]) % 1000), 3)
ELSE STR(INT([K Close HC])) END</t>
        </is>
      </c>
      <c r="C15" s="3" t="inlineStr"/>
    </row>
    <row r="16">
      <c r="A16" s="3" t="inlineStr">
        <is>
          <t>KPI 1 Note Up</t>
        </is>
      </c>
      <c r="B16" s="3" t="inlineStr">
        <is>
          <t>IF [K Valid] AND [K Net Pct] &gt; 0 THEN "+" + [K Net Pct Str] END</t>
        </is>
      </c>
      <c r="C16" s="3" t="inlineStr">
        <is>
          <t>teal text</t>
        </is>
      </c>
    </row>
    <row r="17">
      <c r="A17" s="3" t="inlineStr">
        <is>
          <t>KPI 1 Note Down</t>
        </is>
      </c>
      <c r="B17" s="3" t="inlineStr">
        <is>
          <t>IF [K Valid] AND [K Net Pct] &lt; 0 THEN "−" + [K Net Pct Str] END</t>
        </is>
      </c>
      <c r="C17" s="3" t="inlineStr">
        <is>
          <t>dark coral text</t>
        </is>
      </c>
    </row>
    <row r="18">
      <c r="A18" s="3" t="inlineStr">
        <is>
          <t>KPI 1 Note Flat</t>
        </is>
      </c>
      <c r="B18" s="3" t="inlineStr">
        <is>
          <t>IF [K Valid] AND [K Net Pct] = 0 THEN [K Net Pct Str] END</t>
        </is>
      </c>
      <c r="C18" s="3" t="inlineStr">
        <is>
          <t>slate text</t>
        </is>
      </c>
    </row>
    <row r="19">
      <c r="A19" t="inlineStr">
        <is>
          <t>KPI 1 Note Rest</t>
        </is>
      </c>
      <c r="B19" t="inlineStr">
        <is>
          <t>IF [K Valid] THEN "vs " + [K Open Str] + " at start" END</t>
        </is>
      </c>
      <c r="C19" t="inlineStr">
        <is>
          <t>slate, Tableau Book</t>
        </is>
      </c>
    </row>
    <row r="20">
      <c r="A20" s="3" t="inlineStr">
        <is>
          <t>KPI 2 Value</t>
        </is>
      </c>
      <c r="B20" s="3" t="inlineStr">
        <is>
          <t>IF NOT [K Valid] THEN "—"
ELSEIF ROUND([K Close FTE], 0) &gt;= 1000
THEN STR(DIV(INT(ROUND([K Close FTE], 0)), 1000)) + "," + RIGHT("00" + STR(INT(ROUND([K Close FTE], 0)) % 1000), 3)
ELSE STR(INT(ROUND([K Close FTE], 0))) END</t>
        </is>
      </c>
      <c r="C20" s="3" t="inlineStr">
        <is>
          <t>12,940.0: round to tenths, then split whole and tenth</t>
        </is>
      </c>
    </row>
    <row r="21">
      <c r="A21" s="3" t="inlineStr">
        <is>
          <t>KPI 2 Note</t>
        </is>
      </c>
      <c r="B21" s="3" t="inlineStr">
        <is>
          <t>IF NOT [K Valid] THEN "" ELSE
  IF INT(ROUND([K Part Time Gap], 0)) &gt;= 1000
  THEN STR(DIV(INT(ROUND([K Part Time Gap], 0)), 1000)) + "," +
       RIGHT("00" + STR(INT(ROUND([K Part Time Gap], 0)) % 1000), 3)
  ELSE STR(INT(ROUND([K Part Time Gap], 0))) END
  + " below headcount (part-time)"
END</t>
        </is>
      </c>
      <c r="C21" s="3" t="inlineStr"/>
    </row>
    <row r="22">
      <c r="A22" s="3" t="inlineStr">
        <is>
          <t>KPI 3 Value</t>
        </is>
      </c>
      <c r="B22" s="3" t="inlineStr">
        <is>
          <t>IF NOT [K Valid] THEN "—"
ELSEIF [K Hires] &gt;= 1000
THEN STR(DIV(INT([K Hires]), 1000)) + "," + RIGHT("00" + STR(INT([K Hires]) % 1000), 3)
ELSE STR(INT([K Hires])) END</t>
        </is>
      </c>
      <c r="C22" s="3" t="inlineStr">
        <is>
          <t>the comma pattern on [K Hires]</t>
        </is>
      </c>
    </row>
    <row r="23">
      <c r="A23" s="3" t="inlineStr">
        <is>
          <t>KPI 3 Note</t>
        </is>
      </c>
      <c r="B23" s="3" t="inlineStr">
        <is>
          <t>IF NOT [K Valid] THEN "" ELSE
  STR(DIV(INT(ROUND(ZN([Hire Rate (annualized)]) * 1000, 0)), 10)) + "." +
  STR(INT(ROUND(ZN([Hire Rate (annualized)]) * 1000, 0)) % 10) + "% annualized hire rate"
END</t>
        </is>
      </c>
      <c r="C23" s="3" t="inlineStr">
        <is>
          <t>the percent pattern on the annualized hire rate</t>
        </is>
      </c>
    </row>
    <row r="24">
      <c r="A24" s="3" t="inlineStr">
        <is>
          <t>KPI 4 Value</t>
        </is>
      </c>
      <c r="B24" s="3" t="inlineStr">
        <is>
          <t>IF NOT [K Valid] OR [Average Headcount] &lt; 20 THEN "—" ELSE
  STR(DIV(INT(ROUND([Voluntary Turnover (annualized)] * 1000, 0)), 10)) + "." +
  STR(INT(ROUND([Voluntary Turnover (annualized)] * 1000, 0)) % 10) + "%"
END</t>
        </is>
      </c>
      <c r="C24" s="3" t="inlineStr">
        <is>
          <t>hidden for groups under 20 people, like Rate Shown</t>
        </is>
      </c>
    </row>
    <row r="25">
      <c r="A25" s="3" t="inlineStr">
        <is>
          <t>KPI 4 Note</t>
        </is>
      </c>
      <c r="B25" s="3" t="inlineStr">
        <is>
          <t>IF NOT [K Valid] THEN "" ELSE
  IF [K Leavers Vol] &gt;= 1000
  THEN STR(DIV(INT([K Leavers Vol]), 1000)) + "," + RIGHT("00" + STR(INT([K Leavers Vol]) % 1000), 3)
  ELSE STR(INT([K Leavers Vol])) END
  + " leavers by choice"
END</t>
        </is>
      </c>
      <c r="C25" s="3" t="inlineStr">
        <is>
          <t>the comma pattern on [K Leavers Vol]</t>
        </is>
      </c>
    </row>
    <row r="26">
      <c r="A26" s="3" t="inlineStr">
        <is>
          <t>KPI 5 Value</t>
        </is>
      </c>
      <c r="B26" s="3" t="inlineStr">
        <is>
          <t>IF NOT [K Valid] THEN "—"
ELSEIF [K Moves] &gt;= 1000
THEN STR(DIV(INT([K Moves]), 1000)) + "," + RIGHT("00" + STR(INT([K Moves]) % 1000), 3)
ELSE STR(INT([K Moves])) END</t>
        </is>
      </c>
      <c r="C26" s="3" t="inlineStr">
        <is>
          <t>the comma pattern on [K Moves]</t>
        </is>
      </c>
    </row>
    <row r="27">
      <c r="A27" s="3" t="inlineStr">
        <is>
          <t>KPI 5 Note</t>
        </is>
      </c>
      <c r="B27" s="3" t="inlineStr">
        <is>
          <t>IF NOT [K Valid] THEN "" ELSE
  IF [K Promotions] &gt;= 1000
  THEN STR(DIV(INT([K Promotions]), 1000)) + "," + RIGHT("00" + STR(INT([K Promotions]) % 1000), 3)
  ELSE STR(INT([K Promotions])) END
  + " promotions · " +
  IF [K Other Moves] &gt;= 1000
  THEN STR(DIV(INT([K Other Moves]), 1000)) + "," + RIGHT("00" + STR(INT([K Other Moves]) % 1000), 3)
  ELSE STR(INT([K Other Moves])) END
  + " other moves"
END</t>
        </is>
      </c>
      <c r="C27" s="3" t="inlineStr"/>
    </row>
    <row r="28">
      <c r="A28" s="3" t="inlineStr">
        <is>
          <t>kpi_lat Title</t>
        </is>
      </c>
      <c r="B28" s="3" t="inlineStr">
        <is>
          <t>-([kpi_GridTop] + [kpi_TitleDY] + [kpi_ShiftY] - [kpi_SheetH] / 2) * [kpi_Scale] * [kpi_FitY]</t>
        </is>
      </c>
      <c r="C28" s="3" t="inlineStr"/>
    </row>
    <row r="29">
      <c r="A29" s="3" t="inlineStr">
        <is>
          <t>kpi_lat Value</t>
        </is>
      </c>
      <c r="B29" s="3" t="inlineStr">
        <is>
          <t>-([kpi_GridTop] + [kpi_ValueDY] + [kpi_ShiftY] - [kpi_SheetH] / 2) * [kpi_Scale] * [kpi_FitY]</t>
        </is>
      </c>
      <c r="C29" s="3" t="inlineStr"/>
    </row>
    <row r="30">
      <c r="A30" s="3" t="inlineStr">
        <is>
          <t>kpi_lat Sub</t>
        </is>
      </c>
      <c r="B30" s="3" t="inlineStr">
        <is>
          <t>-([kpi_GridTop] + [kpi_SubDY] + [kpi_ShiftY] - [kpi_SheetH] / 2) * [kpi_Scale] * [kpi_FitY]</t>
        </is>
      </c>
      <c r="C30" s="3" t="inlineStr"/>
    </row>
    <row r="31">
      <c r="A31" s="3" t="inlineStr">
        <is>
          <t>kpi_lon C1</t>
        </is>
      </c>
      <c r="B31" s="3" t="inlineStr">
        <is>
          <t>([kpi_GridLeft] + 0 * ([kpi_CardW] + [kpi_GapX]) + [kpi_PadX] + [kpi_ShiftX] - [kpi_SheetW] / 2) * [kpi_Scale] * [kpi_FitX]</t>
        </is>
      </c>
      <c r="C31" s="3" t="inlineStr"/>
    </row>
    <row r="32">
      <c r="A32" s="3" t="inlineStr">
        <is>
          <t>kpi_lon C2</t>
        </is>
      </c>
      <c r="B32" s="3" t="inlineStr">
        <is>
          <t>([kpi_GridLeft] + 1 * ([kpi_CardW] + [kpi_GapX]) + [kpi_PadX] + [kpi_ShiftX] - [kpi_SheetW] / 2) * [kpi_Scale] * [kpi_FitX]</t>
        </is>
      </c>
      <c r="C32" s="3" t="inlineStr"/>
    </row>
    <row r="33">
      <c r="A33" s="3" t="inlineStr">
        <is>
          <t>kpi_lon C3</t>
        </is>
      </c>
      <c r="B33" s="3" t="inlineStr">
        <is>
          <t>([kpi_GridLeft] + 2 * ([kpi_CardW] + [kpi_GapX]) + [kpi_PadX] + [kpi_ShiftX] - [kpi_SheetW] / 2) * [kpi_Scale] * [kpi_FitX]</t>
        </is>
      </c>
      <c r="C33" s="3" t="inlineStr"/>
    </row>
    <row r="34">
      <c r="A34" s="3" t="inlineStr">
        <is>
          <t>kpi_lon C4</t>
        </is>
      </c>
      <c r="B34" s="3" t="inlineStr">
        <is>
          <t>([kpi_GridLeft] + 3 * ([kpi_CardW] + [kpi_GapX]) + [kpi_PadX] + [kpi_ShiftX] - [kpi_SheetW] / 2) * [kpi_Scale] * [kpi_FitX]</t>
        </is>
      </c>
      <c r="C34" s="3" t="inlineStr"/>
    </row>
    <row r="35">
      <c r="A35" s="3" t="inlineStr">
        <is>
          <t>kpi_lon C5</t>
        </is>
      </c>
      <c r="B35" s="3" t="inlineStr">
        <is>
          <t>([kpi_GridLeft] + 4 * ([kpi_CardW] + [kpi_GapX]) + [kpi_PadX] + [kpi_ShiftX] - [kpi_SheetW] / 2) * [kpi_Scale] * [kpi_FitX]</t>
        </is>
      </c>
      <c r="C35" s="3" t="inlineStr"/>
    </row>
    <row r="36">
      <c r="A36" s="3" t="inlineStr">
        <is>
          <t>kpi_pt Title 1</t>
        </is>
      </c>
      <c r="B36" s="3" t="inlineStr">
        <is>
          <t>MAKEPOINT([kpi_lat Title], [kpi_lon C1])</t>
        </is>
      </c>
      <c r="C36" s="3" t="inlineStr">
        <is>
          <t>anchor point (Note uses kpi_lat Sub)</t>
        </is>
      </c>
    </row>
    <row r="37">
      <c r="A37" s="3" t="inlineStr">
        <is>
          <t>kpi_pt Title 2</t>
        </is>
      </c>
      <c r="B37" s="3" t="inlineStr">
        <is>
          <t>MAKEPOINT([kpi_lat Title], [kpi_lon C2])</t>
        </is>
      </c>
      <c r="C37" s="3" t="inlineStr">
        <is>
          <t>anchor point (Note uses kpi_lat Sub)</t>
        </is>
      </c>
    </row>
    <row r="38">
      <c r="A38" s="3" t="inlineStr">
        <is>
          <t>kpi_pt Title 3</t>
        </is>
      </c>
      <c r="B38" s="3" t="inlineStr">
        <is>
          <t>MAKEPOINT([kpi_lat Title], [kpi_lon C3])</t>
        </is>
      </c>
      <c r="C38" s="3" t="inlineStr">
        <is>
          <t>anchor point (Note uses kpi_lat Sub)</t>
        </is>
      </c>
    </row>
    <row r="39">
      <c r="A39" s="3" t="inlineStr">
        <is>
          <t>kpi_pt Title 4</t>
        </is>
      </c>
      <c r="B39" s="3" t="inlineStr">
        <is>
          <t>MAKEPOINT([kpi_lat Title], [kpi_lon C4])</t>
        </is>
      </c>
      <c r="C39" s="3" t="inlineStr">
        <is>
          <t>anchor point (Note uses kpi_lat Sub)</t>
        </is>
      </c>
    </row>
    <row r="40">
      <c r="A40" s="3" t="inlineStr">
        <is>
          <t>kpi_pt Title 5</t>
        </is>
      </c>
      <c r="B40" s="3" t="inlineStr">
        <is>
          <t>MAKEPOINT([kpi_lat Title], [kpi_lon C5])</t>
        </is>
      </c>
      <c r="C40" s="3" t="inlineStr">
        <is>
          <t>anchor point (Note uses kpi_lat Sub)</t>
        </is>
      </c>
    </row>
    <row r="41">
      <c r="A41" s="3" t="inlineStr">
        <is>
          <t>kpi_pt Value 1</t>
        </is>
      </c>
      <c r="B41" s="3" t="inlineStr">
        <is>
          <t>MAKEPOINT([kpi_lat Value], [kpi_lon C1])</t>
        </is>
      </c>
      <c r="C41" s="3" t="inlineStr">
        <is>
          <t>anchor point (Note uses kpi_lat Sub)</t>
        </is>
      </c>
    </row>
    <row r="42">
      <c r="A42" s="3" t="inlineStr">
        <is>
          <t>kpi_pt Value 2</t>
        </is>
      </c>
      <c r="B42" s="3" t="inlineStr">
        <is>
          <t>MAKEPOINT([kpi_lat Value], [kpi_lon C2])</t>
        </is>
      </c>
      <c r="C42" s="3" t="inlineStr">
        <is>
          <t>anchor point (Note uses kpi_lat Sub)</t>
        </is>
      </c>
    </row>
    <row r="43">
      <c r="A43" s="3" t="inlineStr">
        <is>
          <t>kpi_pt Value 3</t>
        </is>
      </c>
      <c r="B43" s="3" t="inlineStr">
        <is>
          <t>MAKEPOINT([kpi_lat Value], [kpi_lon C3])</t>
        </is>
      </c>
      <c r="C43" s="3" t="inlineStr">
        <is>
          <t>anchor point (Note uses kpi_lat Sub)</t>
        </is>
      </c>
    </row>
    <row r="44">
      <c r="A44" s="3" t="inlineStr">
        <is>
          <t>kpi_pt Value 4</t>
        </is>
      </c>
      <c r="B44" s="3" t="inlineStr">
        <is>
          <t>MAKEPOINT([kpi_lat Value], [kpi_lon C4])</t>
        </is>
      </c>
      <c r="C44" s="3" t="inlineStr">
        <is>
          <t>anchor point (Note uses kpi_lat Sub)</t>
        </is>
      </c>
    </row>
    <row r="45">
      <c r="A45" s="3" t="inlineStr">
        <is>
          <t>kpi_pt Value 5</t>
        </is>
      </c>
      <c r="B45" s="3" t="inlineStr">
        <is>
          <t>MAKEPOINT([kpi_lat Value], [kpi_lon C5])</t>
        </is>
      </c>
      <c r="C45" s="3" t="inlineStr">
        <is>
          <t>anchor point (Note uses kpi_lat Sub)</t>
        </is>
      </c>
    </row>
    <row r="46">
      <c r="A46" s="3" t="inlineStr">
        <is>
          <t>kpi_pt Note 1</t>
        </is>
      </c>
      <c r="B46" s="3" t="inlineStr">
        <is>
          <t>MAKEPOINT([kpi_lat Sub], [kpi_lon C1])</t>
        </is>
      </c>
      <c r="C46" s="3" t="inlineStr">
        <is>
          <t>anchor point (Note uses kpi_lat Sub)</t>
        </is>
      </c>
    </row>
    <row r="47">
      <c r="A47" s="3" t="inlineStr">
        <is>
          <t>kpi_pt Note 2</t>
        </is>
      </c>
      <c r="B47" s="3" t="inlineStr">
        <is>
          <t>MAKEPOINT([kpi_lat Sub], [kpi_lon C2])</t>
        </is>
      </c>
      <c r="C47" s="3" t="inlineStr">
        <is>
          <t>anchor point (Note uses kpi_lat Sub)</t>
        </is>
      </c>
    </row>
    <row r="48">
      <c r="A48" s="3" t="inlineStr">
        <is>
          <t>kpi_pt Note 3</t>
        </is>
      </c>
      <c r="B48" s="3" t="inlineStr">
        <is>
          <t>MAKEPOINT([kpi_lat Sub], [kpi_lon C3])</t>
        </is>
      </c>
      <c r="C48" s="3" t="inlineStr">
        <is>
          <t>anchor point (Note uses kpi_lat Sub)</t>
        </is>
      </c>
    </row>
    <row r="49">
      <c r="A49" s="3" t="inlineStr">
        <is>
          <t>kpi_pt Note 4</t>
        </is>
      </c>
      <c r="B49" s="3" t="inlineStr">
        <is>
          <t>MAKEPOINT([kpi_lat Sub], [kpi_lon C4])</t>
        </is>
      </c>
      <c r="C49" s="3" t="inlineStr">
        <is>
          <t>anchor point (Note uses kpi_lat Sub)</t>
        </is>
      </c>
    </row>
    <row r="50">
      <c r="A50" s="3" t="inlineStr">
        <is>
          <t>kpi_pt Note 5</t>
        </is>
      </c>
      <c r="B50" s="3" t="inlineStr">
        <is>
          <t>MAKEPOINT([kpi_lat Sub], [kpi_lon C5])</t>
        </is>
      </c>
      <c r="C50" s="3" t="inlineStr">
        <is>
          <t>anchor point (Note uses kpi_lat Sub)</t>
        </is>
      </c>
    </row>
    <row r="51">
      <c r="A51" t="inlineStr">
        <is>
          <t>KPI 1 Title</t>
        </is>
      </c>
      <c r="B51" t="inlineStr">
        <is>
          <t>"Closing headcount"</t>
        </is>
      </c>
      <c r="C51" t="inlineStr">
        <is>
          <t>constant text for the title layer's Label shelf</t>
        </is>
      </c>
    </row>
    <row r="52">
      <c r="A52" t="inlineStr">
        <is>
          <t>KPI 2 Title</t>
        </is>
      </c>
      <c r="B52" t="inlineStr">
        <is>
          <t>"Closing FTE"</t>
        </is>
      </c>
      <c r="C52" t="inlineStr">
        <is>
          <t>constant text for the title layer's Label shelf</t>
        </is>
      </c>
    </row>
    <row r="53">
      <c r="A53" t="inlineStr">
        <is>
          <t>KPI 3 Title</t>
        </is>
      </c>
      <c r="B53" t="inlineStr">
        <is>
          <t>"Hires"</t>
        </is>
      </c>
      <c r="C53" t="inlineStr">
        <is>
          <t>constant text for the title layer's Label shelf</t>
        </is>
      </c>
    </row>
    <row r="54">
      <c r="A54" t="inlineStr">
        <is>
          <t>KPI 4 Title</t>
        </is>
      </c>
      <c r="B54" t="inlineStr">
        <is>
          <t>"Voluntary turnover (annualized)"</t>
        </is>
      </c>
      <c r="C54" t="inlineStr">
        <is>
          <t>constant text for the title layer's Label shelf</t>
        </is>
      </c>
    </row>
    <row r="55">
      <c r="A55" t="inlineStr">
        <is>
          <t>KPI 5 Title</t>
        </is>
      </c>
      <c r="B55" t="inlineStr">
        <is>
          <t>"Internal moves"</t>
        </is>
      </c>
      <c r="C55" t="inlineStr">
        <is>
          <t>constant text for the title layer's Label shelf</t>
        </is>
      </c>
    </row>
    <row r="56">
      <c r="A56" t="inlineStr">
        <is>
          <t>kpi_Corner TL</t>
        </is>
      </c>
      <c r="B56" t="inlineStr">
        <is>
          <t>MAKEPOINT([kpi_SheetH] / 2 * [kpi_Scale], -[kpi_SheetW] / 2 * [kpi_Scale])</t>
        </is>
      </c>
      <c r="C56" t="inlineStr">
        <is>
          <t>fixes the map extent; Circle, smallest, 0% opacity</t>
        </is>
      </c>
    </row>
    <row r="57">
      <c r="A57" t="inlineStr">
        <is>
          <t>kpi_Corner BR</t>
        </is>
      </c>
      <c r="B57" t="inlineStr">
        <is>
          <t>MAKEPOINT(-[kpi_SheetH] / 2 * [kpi_Scale], [kpi_SheetW] / 2 * [kpi_Scale])</t>
        </is>
      </c>
      <c r="C57" t="inlineStr">
        <is>
          <t>fixes the map extent; Circle, smallest, 0% opacity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48" customWidth="1" min="4" max="4"/>
    <col width="22" customWidth="1" min="5" max="5"/>
    <col width="12" customWidth="1" min="6" max="6"/>
  </cols>
  <sheetData>
    <row r="1">
      <c r="A1" s="2" t="inlineStr">
        <is>
          <t>Layer</t>
        </is>
      </c>
      <c r="B1" s="2" t="inlineStr">
        <is>
          <t>Spatial field</t>
        </is>
      </c>
      <c r="C1" s="2" t="inlineStr">
        <is>
          <t>Mark</t>
        </is>
      </c>
      <c r="D1" s="2" t="inlineStr">
        <is>
          <t>Label</t>
        </is>
      </c>
      <c r="E1" s="2" t="inlineStr">
        <is>
          <t>Font</t>
        </is>
      </c>
      <c r="F1" s="2" t="inlineStr">
        <is>
          <t>Color</t>
        </is>
      </c>
    </row>
    <row r="2">
      <c r="A2" s="3" t="inlineStr">
        <is>
          <t>Title 1</t>
        </is>
      </c>
      <c r="B2" s="3" t="inlineStr">
        <is>
          <t>kpi_pt Title 1</t>
        </is>
      </c>
      <c r="C2" s="3" t="inlineStr">
        <is>
          <t>Circle, smallest, opacity 0%</t>
        </is>
      </c>
      <c r="D2" s="3" t="inlineStr">
        <is>
          <t>Label field: KPI 1 Title</t>
        </is>
      </c>
      <c r="E2" s="3" t="inlineStr">
        <is>
          <t>Tableau Semibold 8pt</t>
        </is>
      </c>
      <c r="F2" s="3" t="inlineStr">
        <is>
          <t>#5A6170</t>
        </is>
      </c>
    </row>
    <row r="3">
      <c r="A3" s="3" t="inlineStr">
        <is>
          <t>Value 1</t>
        </is>
      </c>
      <c r="B3" s="3" t="inlineStr">
        <is>
          <t>kpi_pt Value 1</t>
        </is>
      </c>
      <c r="C3" s="3" t="inlineStr">
        <is>
          <t>Circle, smallest, opacity 0%</t>
        </is>
      </c>
      <c r="D3" s="3" t="inlineStr">
        <is>
          <t>Label field: KPI 1 Value</t>
        </is>
      </c>
      <c r="E3" s="3" t="inlineStr">
        <is>
          <t>Tableau Bold 20pt</t>
        </is>
      </c>
      <c r="F3" s="3" t="inlineStr">
        <is>
          <t>#13233A</t>
        </is>
      </c>
    </row>
    <row r="4">
      <c r="A4" s="3" t="inlineStr">
        <is>
          <t>Note 1</t>
        </is>
      </c>
      <c r="B4" s="3" t="inlineStr">
        <is>
          <t>kpi_pt Note 1</t>
        </is>
      </c>
      <c r="C4" s="3" t="inlineStr">
        <is>
          <t>Circle, smallest, opacity 0%</t>
        </is>
      </c>
      <c r="D4" s="3" t="inlineStr">
        <is>
          <t>Label line: &lt;KPI 1 Note Up&gt;&lt;KPI 1 Note Down&gt;&lt;KPI 1 Note Flat&gt; &lt;KPI 1 Note Rest&gt; (typed space before Rest)</t>
        </is>
      </c>
      <c r="E4" s="3" t="inlineStr">
        <is>
          <t>Tableau Book 8pt</t>
        </is>
      </c>
      <c r="F4" s="3" t="inlineStr">
        <is>
          <t>Up #006B66 / Down #B8401F / Flat #5A6170 / Rest #5A6170 (color each field)</t>
        </is>
      </c>
    </row>
    <row r="5">
      <c r="A5" s="3" t="inlineStr">
        <is>
          <t>Title 2</t>
        </is>
      </c>
      <c r="B5" s="3" t="inlineStr">
        <is>
          <t>kpi_pt Title 2</t>
        </is>
      </c>
      <c r="C5" s="3" t="inlineStr">
        <is>
          <t>Circle, smallest, opacity 0%</t>
        </is>
      </c>
      <c r="D5" s="3" t="inlineStr">
        <is>
          <t>Label field: KPI 2 Title</t>
        </is>
      </c>
      <c r="E5" s="3" t="inlineStr">
        <is>
          <t>Tableau Semibold 8pt</t>
        </is>
      </c>
      <c r="F5" s="3" t="inlineStr">
        <is>
          <t>#5A6170</t>
        </is>
      </c>
    </row>
    <row r="6">
      <c r="A6" s="3" t="inlineStr">
        <is>
          <t>Value 2</t>
        </is>
      </c>
      <c r="B6" s="3" t="inlineStr">
        <is>
          <t>kpi_pt Value 2</t>
        </is>
      </c>
      <c r="C6" s="3" t="inlineStr">
        <is>
          <t>Circle, smallest, opacity 0%</t>
        </is>
      </c>
      <c r="D6" s="3" t="inlineStr">
        <is>
          <t>Label field: KPI 2 Value</t>
        </is>
      </c>
      <c r="E6" s="3" t="inlineStr">
        <is>
          <t>Tableau Bold 20pt</t>
        </is>
      </c>
      <c r="F6" s="3" t="inlineStr">
        <is>
          <t>#13233A</t>
        </is>
      </c>
    </row>
    <row r="7">
      <c r="A7" s="3" t="inlineStr">
        <is>
          <t>Note 2</t>
        </is>
      </c>
      <c r="B7" s="3" t="inlineStr">
        <is>
          <t>kpi_pt Note 2</t>
        </is>
      </c>
      <c r="C7" s="3" t="inlineStr">
        <is>
          <t>Circle, smallest, opacity 0%</t>
        </is>
      </c>
      <c r="D7" s="3" t="inlineStr">
        <is>
          <t>Label field: KPI 2 Note</t>
        </is>
      </c>
      <c r="E7" s="3" t="inlineStr">
        <is>
          <t>Tableau Book 8pt</t>
        </is>
      </c>
      <c r="F7" s="3" t="inlineStr">
        <is>
          <t>#5A6170</t>
        </is>
      </c>
    </row>
    <row r="8">
      <c r="A8" s="3" t="inlineStr">
        <is>
          <t>Title 3</t>
        </is>
      </c>
      <c r="B8" s="3" t="inlineStr">
        <is>
          <t>kpi_pt Title 3</t>
        </is>
      </c>
      <c r="C8" s="3" t="inlineStr">
        <is>
          <t>Circle, smallest, opacity 0%</t>
        </is>
      </c>
      <c r="D8" s="3" t="inlineStr">
        <is>
          <t>Label field: KPI 3 Title</t>
        </is>
      </c>
      <c r="E8" s="3" t="inlineStr">
        <is>
          <t>Tableau Semibold 8pt</t>
        </is>
      </c>
      <c r="F8" s="3" t="inlineStr">
        <is>
          <t>#5A6170</t>
        </is>
      </c>
    </row>
    <row r="9">
      <c r="A9" s="3" t="inlineStr">
        <is>
          <t>Value 3</t>
        </is>
      </c>
      <c r="B9" s="3" t="inlineStr">
        <is>
          <t>kpi_pt Value 3</t>
        </is>
      </c>
      <c r="C9" s="3" t="inlineStr">
        <is>
          <t>Circle, smallest, opacity 0%</t>
        </is>
      </c>
      <c r="D9" s="3" t="inlineStr">
        <is>
          <t>Label field: KPI 3 Value</t>
        </is>
      </c>
      <c r="E9" s="3" t="inlineStr">
        <is>
          <t>Tableau Bold 20pt</t>
        </is>
      </c>
      <c r="F9" s="3" t="inlineStr">
        <is>
          <t>#13233A</t>
        </is>
      </c>
    </row>
    <row r="10">
      <c r="A10" s="3" t="inlineStr">
        <is>
          <t>Note 3</t>
        </is>
      </c>
      <c r="B10" s="3" t="inlineStr">
        <is>
          <t>kpi_pt Note 3</t>
        </is>
      </c>
      <c r="C10" s="3" t="inlineStr">
        <is>
          <t>Circle, smallest, opacity 0%</t>
        </is>
      </c>
      <c r="D10" s="3" t="inlineStr">
        <is>
          <t>Label field: KPI 3 Note</t>
        </is>
      </c>
      <c r="E10" s="3" t="inlineStr">
        <is>
          <t>Tableau Book 8pt</t>
        </is>
      </c>
      <c r="F10" s="3" t="inlineStr">
        <is>
          <t>#5A6170</t>
        </is>
      </c>
    </row>
    <row r="11">
      <c r="A11" s="3" t="inlineStr">
        <is>
          <t>Title 4</t>
        </is>
      </c>
      <c r="B11" s="3" t="inlineStr">
        <is>
          <t>kpi_pt Title 4</t>
        </is>
      </c>
      <c r="C11" s="3" t="inlineStr">
        <is>
          <t>Circle, smallest, opacity 0%</t>
        </is>
      </c>
      <c r="D11" s="3" t="inlineStr">
        <is>
          <t>Label field: KPI 4 Title</t>
        </is>
      </c>
      <c r="E11" s="3" t="inlineStr">
        <is>
          <t>Tableau Semibold 8pt</t>
        </is>
      </c>
      <c r="F11" s="3" t="inlineStr">
        <is>
          <t>#5A6170</t>
        </is>
      </c>
    </row>
    <row r="12">
      <c r="A12" s="3" t="inlineStr">
        <is>
          <t>Value 4</t>
        </is>
      </c>
      <c r="B12" s="3" t="inlineStr">
        <is>
          <t>kpi_pt Value 4</t>
        </is>
      </c>
      <c r="C12" s="3" t="inlineStr">
        <is>
          <t>Circle, smallest, opacity 0%</t>
        </is>
      </c>
      <c r="D12" s="3" t="inlineStr">
        <is>
          <t>Label field: KPI 4 Value</t>
        </is>
      </c>
      <c r="E12" s="3" t="inlineStr">
        <is>
          <t>Tableau Bold 20pt</t>
        </is>
      </c>
      <c r="F12" s="3" t="inlineStr">
        <is>
          <t>#13233A</t>
        </is>
      </c>
    </row>
    <row r="13">
      <c r="A13" s="3" t="inlineStr">
        <is>
          <t>Note 4</t>
        </is>
      </c>
      <c r="B13" s="3" t="inlineStr">
        <is>
          <t>kpi_pt Note 4</t>
        </is>
      </c>
      <c r="C13" s="3" t="inlineStr">
        <is>
          <t>Circle, smallest, opacity 0%</t>
        </is>
      </c>
      <c r="D13" s="3" t="inlineStr">
        <is>
          <t>Label field: KPI 4 Note</t>
        </is>
      </c>
      <c r="E13" s="3" t="inlineStr">
        <is>
          <t>Tableau Book 8pt</t>
        </is>
      </c>
      <c r="F13" s="3" t="inlineStr">
        <is>
          <t>#5A6170</t>
        </is>
      </c>
    </row>
    <row r="14">
      <c r="A14" s="3" t="inlineStr">
        <is>
          <t>Title 5</t>
        </is>
      </c>
      <c r="B14" s="3" t="inlineStr">
        <is>
          <t>kpi_pt Title 5</t>
        </is>
      </c>
      <c r="C14" s="3" t="inlineStr">
        <is>
          <t>Circle, smallest, opacity 0%</t>
        </is>
      </c>
      <c r="D14" s="3" t="inlineStr">
        <is>
          <t>Label field: KPI 5 Title</t>
        </is>
      </c>
      <c r="E14" s="3" t="inlineStr">
        <is>
          <t>Tableau Semibold 8pt</t>
        </is>
      </c>
      <c r="F14" s="3" t="inlineStr">
        <is>
          <t>#5A6170</t>
        </is>
      </c>
    </row>
    <row r="15">
      <c r="A15" s="3" t="inlineStr">
        <is>
          <t>Value 5</t>
        </is>
      </c>
      <c r="B15" s="3" t="inlineStr">
        <is>
          <t>kpi_pt Value 5</t>
        </is>
      </c>
      <c r="C15" s="3" t="inlineStr">
        <is>
          <t>Circle, smallest, opacity 0%</t>
        </is>
      </c>
      <c r="D15" s="3" t="inlineStr">
        <is>
          <t>Label field: KPI 5 Value</t>
        </is>
      </c>
      <c r="E15" s="3" t="inlineStr">
        <is>
          <t>Tableau Bold 20pt</t>
        </is>
      </c>
      <c r="F15" s="3" t="inlineStr">
        <is>
          <t>#13233A</t>
        </is>
      </c>
    </row>
    <row r="16">
      <c r="A16" s="3" t="inlineStr">
        <is>
          <t>Note 5</t>
        </is>
      </c>
      <c r="B16" s="3" t="inlineStr">
        <is>
          <t>kpi_pt Note 5</t>
        </is>
      </c>
      <c r="C16" s="3" t="inlineStr">
        <is>
          <t>Circle, smallest, opacity 0%</t>
        </is>
      </c>
      <c r="D16" s="3" t="inlineStr">
        <is>
          <t>Label field: KPI 5 Note</t>
        </is>
      </c>
      <c r="E16" s="3" t="inlineStr">
        <is>
          <t>Tableau Book 8pt</t>
        </is>
      </c>
      <c r="F16" s="3" t="inlineStr">
        <is>
          <t>#5A6170</t>
        </is>
      </c>
    </row>
    <row r="17">
      <c r="A17" t="inlineStr">
        <is>
          <t>Corner TL</t>
        </is>
      </c>
      <c r="B17" t="inlineStr">
        <is>
          <t>kpi_Corner TL</t>
        </is>
      </c>
      <c r="C17" t="inlineStr">
        <is>
          <t>Circle, smallest, opacity 0%</t>
        </is>
      </c>
      <c r="D17" t="inlineStr">
        <is>
          <t>(no label)</t>
        </is>
      </c>
    </row>
    <row r="18">
      <c r="A18" t="inlineStr">
        <is>
          <t>Corner BR</t>
        </is>
      </c>
      <c r="B18" t="inlineStr">
        <is>
          <t>kpi_Corner BR</t>
        </is>
      </c>
      <c r="C18" t="inlineStr">
        <is>
          <t>Circle, smallest, opacity 0%</t>
        </is>
      </c>
      <c r="D18" t="inlineStr">
        <is>
          <t>(no label)</t>
        </is>
      </c>
    </row>
    <row r="19">
      <c r="A19" t="inlineStr">
        <is>
          <t>ALL text layers</t>
        </is>
      </c>
      <c r="D19" t="inlineStr">
        <is>
          <t>Alignment: Horizontal Right, Vertical Middle (Right makes the text start at the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s="3" t="inlineStr">
        <is>
          <t>Dashboard size</t>
        </is>
      </c>
      <c r="B2" s="3" t="inlineStr">
        <is>
          <t>Fixed 1400 x 850</t>
        </is>
      </c>
    </row>
    <row r="3">
      <c r="A3" s="3" t="inlineStr">
        <is>
          <t>Page background</t>
        </is>
      </c>
      <c r="B3" s="3" t="inlineStr">
        <is>
          <t>#F3F3EF</t>
        </is>
      </c>
    </row>
    <row r="4">
      <c r="A4" s="3" t="inlineStr">
        <is>
          <t>Background image</t>
        </is>
      </c>
      <c r="B4" s="3" t="inlineStr">
        <is>
          <t>docs/brand/arcadia_kpi_cards_bg.png, Floating, x 0 y 78 w 1400 h 110, Fit Image on, Center Image off</t>
        </is>
      </c>
    </row>
    <row r="5">
      <c r="A5" s="3" t="inlineStr">
        <is>
          <t>KPI Cards sheet</t>
        </is>
      </c>
      <c r="B5" s="3" t="inlineStr">
        <is>
          <t>Floating, x 0 y 78 w 1400 h 110, above the image, background None, title hidden</t>
        </is>
      </c>
    </row>
    <row r="6">
      <c r="A6" s="3" t="inlineStr">
        <is>
          <t>Side gutter</t>
        </is>
      </c>
      <c r="B6" s="3" t="inlineStr">
        <is>
          <t>56 px for every object</t>
        </is>
      </c>
    </row>
    <row r="7">
      <c r="A7" s="3" t="inlineStr">
        <is>
          <t>Map options</t>
        </is>
      </c>
      <c r="B7" s="3" t="inlineStr">
        <is>
          <t>Background None; search, toolbar, pan/zoom off; tooltips 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</cols>
  <sheetData>
    <row r="1">
      <c r="A1" s="2" t="inlineStr">
        <is>
          <t>Card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Closing headcount</t>
        </is>
      </c>
      <c r="B2" s="3" t="inlineStr">
        <is>
          <t>13,201</t>
        </is>
      </c>
      <c r="C2" s="3" t="inlineStr">
        <is>
          <t>+5.5% vs 12,510 at start</t>
        </is>
      </c>
    </row>
    <row r="3">
      <c r="A3" s="3" t="inlineStr">
        <is>
          <t>Closing FTE</t>
        </is>
      </c>
      <c r="B3" s="3" t="inlineStr">
        <is>
          <t>12,940</t>
        </is>
      </c>
      <c r="C3" s="3" t="inlineStr">
        <is>
          <t>261 below headcount (part-time)</t>
        </is>
      </c>
    </row>
    <row r="4">
      <c r="A4" s="3" t="inlineStr">
        <is>
          <t>Hires</t>
        </is>
      </c>
      <c r="B4" s="3" t="inlineStr">
        <is>
          <t>2,354</t>
        </is>
      </c>
      <c r="C4" s="3" t="inlineStr">
        <is>
          <t>18.3% annualized hire rate</t>
        </is>
      </c>
    </row>
    <row r="5">
      <c r="A5" s="3" t="inlineStr">
        <is>
          <t>Voluntary turnover (annualized)</t>
        </is>
      </c>
      <c r="B5" s="3" t="inlineStr">
        <is>
          <t>10.4%</t>
        </is>
      </c>
      <c r="C5" s="3" t="inlineStr">
        <is>
          <t>1,341 leavers by choice</t>
        </is>
      </c>
    </row>
    <row r="6">
      <c r="A6" s="3" t="inlineStr">
        <is>
          <t>Internal moves</t>
        </is>
      </c>
      <c r="B6" s="3" t="inlineStr">
        <is>
          <t>1,615</t>
        </is>
      </c>
      <c r="C6" s="3" t="inlineStr">
        <is>
          <t>1,038 promotions · 577 other moves</t>
        </is>
      </c>
    </row>
    <row r="8">
      <c r="A8" t="inlineStr">
        <is>
          <t>Range: Start Month 2025-07-31, End Month 2026-06-30. Start after End: every value shows an em dash.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5" t="inlineStr">
        <is>
          <t>#</t>
        </is>
      </c>
      <c r="B1" s="5" t="inlineStr">
        <is>
          <t>Item</t>
        </is>
      </c>
      <c r="C1" s="5" t="inlineStr">
        <is>
          <t>Type</t>
        </is>
      </c>
      <c r="D1" s="5" t="inlineStr">
        <is>
          <t>x</t>
        </is>
      </c>
      <c r="E1" s="5" t="inlineStr">
        <is>
          <t>y</t>
        </is>
      </c>
      <c r="F1" s="5" t="inlineStr">
        <is>
          <t>w</t>
        </is>
      </c>
      <c r="G1" s="5" t="inlineStr">
        <is>
          <t>h</t>
        </is>
      </c>
      <c r="H1" s="5" t="inlineStr">
        <is>
          <t>Notes</t>
        </is>
      </c>
    </row>
    <row r="2">
      <c r="A2" t="n">
        <v>1</v>
      </c>
      <c r="B2" t="inlineStr">
        <is>
          <t>Header band</t>
        </is>
      </c>
      <c r="C2" t="inlineStr">
        <is>
          <t>Blank</t>
        </is>
      </c>
      <c r="D2" t="n">
        <v>0</v>
      </c>
      <c r="E2" t="n">
        <v>0</v>
      </c>
      <c r="F2" t="n">
        <v>1400</v>
      </c>
      <c r="G2" t="n">
        <v>76</v>
      </c>
      <c r="H2" t="inlineStr">
        <is>
          <t>Background #13233A</t>
        </is>
      </c>
    </row>
    <row r="3">
      <c r="A3" t="n">
        <v>2</v>
      </c>
      <c r="B3" t="inlineStr">
        <is>
          <t>Logo</t>
        </is>
      </c>
      <c r="C3" t="inlineStr">
        <is>
          <t>Image</t>
        </is>
      </c>
      <c r="D3" t="n">
        <v>56</v>
      </c>
      <c r="E3" t="n">
        <v>14</v>
      </c>
      <c r="F3" t="n">
        <v>177</v>
      </c>
      <c r="G3" t="n">
        <v>48</v>
      </c>
      <c r="H3" t="inlineStr">
        <is>
          <t>arcadia_logo_horizontal_reverse.png</t>
        </is>
      </c>
    </row>
    <row r="4">
      <c r="A4" t="n">
        <v>3</v>
      </c>
      <c r="B4" t="inlineStr">
        <is>
          <t>Title and subtitle</t>
        </is>
      </c>
      <c r="C4" t="inlineStr">
        <is>
          <t>Text</t>
        </is>
      </c>
      <c r="D4" t="n">
        <v>256</v>
      </c>
      <c r="E4" t="n">
        <v>10</v>
      </c>
      <c r="F4" t="n">
        <v>470</v>
      </c>
      <c r="G4" t="n">
        <v>58</v>
      </c>
      <c r="H4" t="inlineStr">
        <is>
          <t>White title; subtitle #C9D1DC</t>
        </is>
      </c>
    </row>
    <row r="5">
      <c r="A5" t="n">
        <v>4</v>
      </c>
      <c r="B5" t="inlineStr">
        <is>
          <t>Start Month</t>
        </is>
      </c>
      <c r="C5" t="inlineStr">
        <is>
          <t>Parameter control</t>
        </is>
      </c>
      <c r="D5" t="n">
        <v>744</v>
      </c>
      <c r="E5" t="n">
        <v>22</v>
      </c>
      <c r="F5" t="n">
        <v>140</v>
      </c>
      <c r="G5" t="n">
        <v>32</v>
      </c>
      <c r="H5" t="inlineStr">
        <is>
          <t>Compact dropdown, white bg</t>
        </is>
      </c>
    </row>
    <row r="6">
      <c r="A6" t="n">
        <v>5</v>
      </c>
      <c r="B6" t="inlineStr">
        <is>
          <t>End Month</t>
        </is>
      </c>
      <c r="C6" t="inlineStr">
        <is>
          <t>Parameter control</t>
        </is>
      </c>
      <c r="D6" t="n">
        <v>892</v>
      </c>
      <c r="E6" t="n">
        <v>22</v>
      </c>
      <c r="F6" t="n">
        <v>140</v>
      </c>
      <c r="G6" t="n">
        <v>32</v>
      </c>
    </row>
    <row r="7">
      <c r="A7" t="n">
        <v>6</v>
      </c>
      <c r="B7" t="inlineStr">
        <is>
          <t>Headcount / FTE pills</t>
        </is>
      </c>
      <c r="C7" t="inlineStr">
        <is>
          <t>Sheet (Measure Toggle)</t>
        </is>
      </c>
      <c r="D7" t="n">
        <v>1044</v>
      </c>
      <c r="E7" t="n">
        <v>22</v>
      </c>
      <c r="F7" t="n">
        <v>150</v>
      </c>
      <c r="G7" t="n">
        <v>32</v>
      </c>
    </row>
    <row r="8">
      <c r="A8" t="n">
        <v>7</v>
      </c>
      <c r="B8" t="inlineStr">
        <is>
          <t>Methodology pill</t>
        </is>
      </c>
      <c r="C8" t="inlineStr">
        <is>
          <t>Sheet</t>
        </is>
      </c>
      <c r="D8" t="n">
        <v>1204</v>
      </c>
      <c r="E8" t="n">
        <v>22</v>
      </c>
      <c r="F8" t="n">
        <v>140</v>
      </c>
      <c r="G8" t="n">
        <v>32</v>
      </c>
    </row>
    <row r="9">
      <c r="A9" t="n">
        <v>8</v>
      </c>
      <c r="B9" t="inlineStr">
        <is>
          <t>KPI card background</t>
        </is>
      </c>
      <c r="C9" t="inlineStr">
        <is>
          <t>Image</t>
        </is>
      </c>
      <c r="D9" t="n">
        <v>0</v>
      </c>
      <c r="E9" t="n">
        <v>78</v>
      </c>
      <c r="F9" t="n">
        <v>1400</v>
      </c>
      <c r="G9" t="n">
        <v>110</v>
      </c>
      <c r="H9" t="inlineStr">
        <is>
          <t>arcadia_kpi_cards_bg.png</t>
        </is>
      </c>
    </row>
    <row r="10">
      <c r="A10" t="n">
        <v>9</v>
      </c>
      <c r="B10" t="inlineStr">
        <is>
          <t>KPI cards</t>
        </is>
      </c>
      <c r="C10" t="inlineStr">
        <is>
          <t>Sheet</t>
        </is>
      </c>
      <c r="D10" t="n">
        <v>0</v>
      </c>
      <c r="E10" t="n">
        <v>78</v>
      </c>
      <c r="F10" t="n">
        <v>1400</v>
      </c>
      <c r="G10" t="n">
        <v>110</v>
      </c>
      <c r="H10" t="inlineStr">
        <is>
          <t>above the image</t>
        </is>
      </c>
    </row>
    <row r="11">
      <c r="A11" t="n">
        <v>10</v>
      </c>
      <c r="B11" t="inlineStr">
        <is>
          <t>Waterfall card</t>
        </is>
      </c>
      <c r="C11" t="inlineStr">
        <is>
          <t>Sheet or Blank</t>
        </is>
      </c>
      <c r="D11" t="n">
        <v>56</v>
      </c>
      <c r="E11" t="n">
        <v>188</v>
      </c>
      <c r="F11" t="n">
        <v>780</v>
      </c>
      <c r="G11" t="n">
        <v>624</v>
      </c>
    </row>
    <row r="12">
      <c r="A12" t="n">
        <v>11</v>
      </c>
      <c r="B12" t="inlineStr">
        <is>
          <t>Headcount trend card</t>
        </is>
      </c>
      <c r="C12" t="inlineStr">
        <is>
          <t>Sheet or Blank</t>
        </is>
      </c>
      <c r="D12" t="n">
        <v>848</v>
      </c>
      <c r="E12" t="n">
        <v>188</v>
      </c>
      <c r="F12" t="n">
        <v>496</v>
      </c>
      <c r="G12" t="n">
        <v>300</v>
      </c>
    </row>
    <row r="13">
      <c r="A13" t="n">
        <v>12</v>
      </c>
      <c r="B13" t="inlineStr">
        <is>
          <t>Turnover by function card</t>
        </is>
      </c>
      <c r="C13" t="inlineStr">
        <is>
          <t>Sheet or Blank</t>
        </is>
      </c>
      <c r="D13" t="n">
        <v>848</v>
      </c>
      <c r="E13" t="n">
        <v>500</v>
      </c>
      <c r="F13" t="n">
        <v>496</v>
      </c>
      <c r="G13" t="n">
        <v>312</v>
      </c>
    </row>
    <row r="14">
      <c r="A14" t="n">
        <v>14</v>
      </c>
      <c r="B14" t="inlineStr">
        <is>
          <t>Footer note</t>
        </is>
      </c>
      <c r="C14" t="inlineStr">
        <is>
          <t>Text</t>
        </is>
      </c>
      <c r="D14" t="n">
        <v>56</v>
      </c>
      <c r="E14" t="n">
        <v>820</v>
      </c>
      <c r="F14" t="n">
        <v>1288</v>
      </c>
      <c r="G14" t="n">
        <v>22</v>
      </c>
      <c r="H14" t="inlineStr">
        <is>
          <t>Slate #5A6170, 8 pt</t>
        </is>
      </c>
    </row>
    <row r="15">
      <c r="A15" t="n">
        <v>13</v>
      </c>
      <c r="B15" t="inlineStr">
        <is>
          <t>Waterfall caption</t>
        </is>
      </c>
      <c r="C15" t="inlineStr">
        <is>
          <t>Sheet</t>
        </is>
      </c>
      <c r="D15" t="n">
        <v>68</v>
      </c>
      <c r="E15" t="n">
        <v>756</v>
      </c>
      <c r="F15" t="n">
        <v>756</v>
      </c>
      <c r="G15" t="n">
        <v>48</v>
      </c>
      <c r="H15" t="inlineStr">
        <is>
          <t>Over the waterfall card's bottom padding; waterfall sheet bottom inner padding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2026-10-08T18:23:48Z</dcterms:created>
  <dcterms:modified xmlns:dcterms="http://purl.org/dc/terms/" xmlns:xsi="http://www.w3.org/2001/XMLSchema-instance" xsi:type="dcterms:W3CDTF">2026-10-08T22:53:28Z</dcterms:modified>
</cp:coreProperties>
</file>